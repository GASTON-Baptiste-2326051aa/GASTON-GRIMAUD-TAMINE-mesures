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_rels/.rels" ContentType="application/vnd.openxmlformats-package.relationships+xml"/>
  <Override PartName="/xl/workbook.xml" ContentType="application/vnd.openxmlformats-officedocument.spreadsheetml.sheet.main+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haredStrings.xml" ContentType="application/vnd.openxmlformats-officedocument.spreadsheetml.sharedStrings+xml"/>
  <Override PartName="/xl/_rels/workbook.xml.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Exo 1 - Partie 1" sheetId="1" state="visible" r:id="rId3"/>
    <sheet name="Exo 1 - Partie 2" sheetId="2" state="visible" r:id="rId4"/>
    <sheet name="Exo 2" sheetId="3" state="visible" r:id="rId5"/>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<sst xmlns="http://schemas.openxmlformats.org/spreadsheetml/2006/main" count="57" uniqueCount="46">
  <si>
    <t xml:space="preserve">C</t>
  </si>
  <si>
    <t xml:space="preserve">Pour intégrer cette information dans notre calcul, nous ajoutons un facteur de multiplication (PSF). Dans notre cas, ce facteur correspond au nombre de niveaux d'énergie, nous multiplions donc le résultat obtenu par 11.</t>
  </si>
  <si>
    <t xml:space="preserve">t</t>
  </si>
  <si>
    <r>
      <rPr>
        <sz val="11"/>
        <color theme="1"/>
        <rFont val="Aptos Narrow"/>
        <family val="2"/>
        <charset val="1"/>
      </rPr>
      <t xml:space="preserve">n</t>
    </r>
    <r>
      <rPr>
        <vertAlign val="subscript"/>
        <sz val="11"/>
        <color theme="1"/>
        <rFont val="Aptos Narrow"/>
        <family val="2"/>
        <charset val="1"/>
      </rPr>
      <t xml:space="preserve">c</t>
    </r>
  </si>
  <si>
    <r>
      <rPr>
        <sz val="11"/>
        <color theme="1"/>
        <rFont val="Aptos Narrow"/>
        <family val="2"/>
        <charset val="1"/>
      </rPr>
      <t xml:space="preserve">P</t>
    </r>
    <r>
      <rPr>
        <vertAlign val="subscript"/>
        <sz val="11"/>
        <color theme="1"/>
        <rFont val="Aptos Narrow"/>
        <family val="2"/>
        <charset val="1"/>
      </rPr>
      <t xml:space="preserve">c</t>
    </r>
  </si>
  <si>
    <r>
      <rPr>
        <sz val="11"/>
        <color theme="1"/>
        <rFont val="Aptos Narrow"/>
        <family val="2"/>
        <charset val="1"/>
      </rPr>
      <t xml:space="preserve">u</t>
    </r>
    <r>
      <rPr>
        <vertAlign val="subscript"/>
        <sz val="11"/>
        <color theme="1"/>
        <rFont val="Aptos Narrow"/>
        <family val="2"/>
        <charset val="1"/>
      </rPr>
      <t xml:space="preserve">c</t>
    </r>
  </si>
  <si>
    <r>
      <rPr>
        <sz val="11"/>
        <color theme="1"/>
        <rFont val="Aptos Narrow"/>
        <family val="2"/>
        <charset val="1"/>
      </rPr>
      <t xml:space="preserve">n</t>
    </r>
    <r>
      <rPr>
        <vertAlign val="subscript"/>
        <sz val="11"/>
        <color theme="1"/>
        <rFont val="Aptos Narrow"/>
        <family val="2"/>
        <charset val="1"/>
      </rPr>
      <t xml:space="preserve">m</t>
    </r>
  </si>
  <si>
    <r>
      <rPr>
        <sz val="11"/>
        <color theme="1"/>
        <rFont val="Aptos Narrow"/>
        <family val="2"/>
        <charset val="1"/>
      </rPr>
      <t xml:space="preserve">P</t>
    </r>
    <r>
      <rPr>
        <vertAlign val="subscript"/>
        <sz val="11"/>
        <color theme="1"/>
        <rFont val="Aptos Narrow"/>
        <family val="2"/>
        <charset val="1"/>
      </rPr>
      <t xml:space="preserve">m</t>
    </r>
  </si>
  <si>
    <t xml:space="preserve">PUE</t>
  </si>
  <si>
    <t xml:space="preserve">CI</t>
  </si>
  <si>
    <t xml:space="preserve">Il faudrait 49,47 années à un arbre adulte pour absorber la quantité de C02 avec les 11 niveaux d'énergie. En effet un arbre absorbe 11kg de CO2 par an.</t>
  </si>
  <si>
    <t xml:space="preserve">PSF</t>
  </si>
  <si>
    <t xml:space="preserve">Question 1</t>
  </si>
  <si>
    <t xml:space="preserve">Question 2</t>
  </si>
  <si>
    <t xml:space="preserve">On cherche dans ecoindex_js, dans le fichier index.js</t>
  </si>
  <si>
    <t xml:space="preserve">export function computeQuantile(quantiles, value) {   for (let i = 1; i &lt; quantiles.length; i++) {     if (value &lt; quantiles[i]) return (i - 1 + (value - quantiles[i - 1]) / (quantiles[i] - quantiles[i - 1]));   }   return quantiles.length - 1; }</t>
  </si>
  <si>
    <t xml:space="preserve">Question 3</t>
  </si>
  <si>
    <t xml:space="preserve">On évalue l’EcoIndex au chargement de la page, sans scroll ni quelconque intéraction avec la page.</t>
  </si>
  <si>
    <t xml:space="preserve">Questiion 4</t>
  </si>
  <si>
    <t xml:space="preserve">Taille du DOM</t>
  </si>
  <si>
    <t xml:space="preserve">Nombre de requête</t>
  </si>
  <si>
    <t xml:space="preserve">Taille de la réponse</t>
  </si>
  <si>
    <t xml:space="preserve">      1.37</t>
  </si>
  <si>
    <t xml:space="preserve">      144.7</t>
  </si>
  <si>
    <t xml:space="preserve">      319.53</t>
  </si>
  <si>
    <t xml:space="preserve">      479.46</t>
  </si>
  <si>
    <t xml:space="preserve">      631.97</t>
  </si>
  <si>
    <t xml:space="preserve">      783.38</t>
  </si>
  <si>
    <t xml:space="preserve">      937.91</t>
  </si>
  <si>
    <t xml:space="preserve">      1098.62</t>
  </si>
  <si>
    <t xml:space="preserve">      1265.47</t>
  </si>
  <si>
    <t xml:space="preserve">      1448.32</t>
  </si>
  <si>
    <t xml:space="preserve">      1648.27</t>
  </si>
  <si>
    <t xml:space="preserve">      1876.08</t>
  </si>
  <si>
    <t xml:space="preserve">      2142.06</t>
  </si>
  <si>
    <t xml:space="preserve">      2465.37</t>
  </si>
  <si>
    <t xml:space="preserve">      2866.31</t>
  </si>
  <si>
    <t xml:space="preserve">      3401.59</t>
  </si>
  <si>
    <t xml:space="preserve">      4155.73</t>
  </si>
  <si>
    <t xml:space="preserve">      5400.08</t>
  </si>
  <si>
    <t xml:space="preserve">      8037.54</t>
  </si>
  <si>
    <t xml:space="preserve">      223212.26</t>
  </si>
  <si>
    <t xml:space="preserve">Question 5</t>
  </si>
  <si>
    <t xml:space="preserve">EcoIndex : 88/100</t>
  </si>
  <si>
    <t xml:space="preserve">Leboncoin : L’analyse n’a pas pu aboutir.  La page que vous essayez de tester ne peut pas être analysée car elle est en erreur (son code réponse n’est pas 200)</t>
  </si>
  <si>
    <t xml:space="preserve">Amazon : L’analyse n’a pas pu aboutir.  Undefined</t>
  </si>
</sst>
</file>

<file path=xl/styles.xml><?xml version="1.0" encoding="utf-8"?>
<styleSheet xmlns="http://schemas.openxmlformats.org/spreadsheetml/2006/main">
  <numFmts count="2">
    <numFmt numFmtId="164" formatCode="General"/>
    <numFmt numFmtId="165" formatCode="General"/>
  </numFmts>
  <fonts count="6">
    <font>
      <sz val="11"/>
      <color theme="1"/>
      <name val="Aptos Narrow"/>
      <family val="2"/>
      <charset val="1"/>
    </font>
    <font>
      <sz val="10"/>
      <name val="Arial"/>
      <family val="0"/>
    </font>
    <font>
      <sz val="10"/>
      <name val="Arial"/>
      <family val="0"/>
    </font>
    <font>
      <sz val="10"/>
      <name val="Arial"/>
      <family val="0"/>
    </font>
    <font>
      <sz val="11"/>
      <color rgb="FF000000"/>
      <name val="Aptos Narrow"/>
      <family val="2"/>
      <charset val="1"/>
    </font>
    <font>
      <vertAlign val="subscript"/>
      <sz val="11"/>
      <color theme="1"/>
      <name val="Aptos Narrow"/>
      <family val="2"/>
      <charset val="1"/>
    </font>
  </fonts>
  <fills count="3">
    <fill>
      <patternFill patternType="none"/>
    </fill>
    <fill>
      <patternFill patternType="gray125"/>
    </fill>
    <fill>
      <patternFill patternType="solid">
        <fgColor rgb="FFFFFF00"/>
        <bgColor rgb="FFFFFF00"/>
      </patternFill>
    </fill>
  </fills>
  <borders count="1">
    <border diagonalUp="false" diagonalDown="false">
      <left/>
      <right/>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6">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true">
      <alignment horizontal="general" vertical="bottom" textRotation="0" wrapText="false" indent="0" shrinkToFit="false"/>
      <protection locked="true" hidden="false"/>
    </xf>
    <xf numFmtId="165" fontId="4" fillId="2" borderId="0" xfId="0" applyFont="true" applyBorder="false" applyAlignment="true" applyProtection="true">
      <alignment horizontal="general" vertical="bottom" textRotation="0" wrapText="false" indent="0" shrinkToFit="false"/>
      <protection locked="true" hidden="false"/>
    </xf>
    <xf numFmtId="165" fontId="0" fillId="2" borderId="0" xfId="0" applyFont="false" applyBorder="false" applyAlignment="true" applyProtection="tru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4" fontId="0" fillId="0" borderId="0" xfId="0" applyFont="true" applyBorder="false" applyAlignment="true" applyProtection="false">
      <alignment horizontal="right"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Thème Offic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pitchFamily="0" charset="1"/>
        <a:ea typeface=""/>
        <a:cs typeface=""/>
      </a:majorFont>
      <a:minorFont>
        <a:latin typeface="Aptos Narrow" panose="0211000402020202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10.63671875" defaultRowHeight="14.25" zeroHeight="false" outlineLevelRow="0" outlineLevelCol="0"/>
  <sheetData>
    <row r="1" customFormat="false" ht="14.25" hidden="false" customHeight="false" outlineLevel="0" collapsed="false">
      <c r="A1" s="1" t="s">
        <v>0</v>
      </c>
      <c r="B1" s="2" t="n">
        <f aca="false">B2*(B3*B4*B5+B6*B7)*B8*B9*0.001</f>
        <v>49465.00755</v>
      </c>
      <c r="C1" s="1" t="s">
        <v>1</v>
      </c>
    </row>
    <row r="2" customFormat="false" ht="14.25" hidden="false" customHeight="false" outlineLevel="0" collapsed="false">
      <c r="A2" s="1" t="s">
        <v>2</v>
      </c>
      <c r="B2" s="1" t="n">
        <v>504</v>
      </c>
      <c r="C2" s="3" t="n">
        <f aca="false">(B1*11)</f>
        <v>544115.08305</v>
      </c>
    </row>
    <row r="3" customFormat="false" ht="14.25" hidden="false" customHeight="false" outlineLevel="0" collapsed="false">
      <c r="A3" s="1" t="s">
        <v>3</v>
      </c>
      <c r="B3" s="1" t="n">
        <v>12</v>
      </c>
    </row>
    <row r="4" customFormat="false" ht="14.25" hidden="false" customHeight="false" outlineLevel="0" collapsed="false">
      <c r="A4" s="1" t="s">
        <v>4</v>
      </c>
      <c r="B4" s="1" t="n">
        <v>10</v>
      </c>
    </row>
    <row r="5" customFormat="false" ht="14.25" hidden="false" customHeight="false" outlineLevel="0" collapsed="false">
      <c r="A5" s="1" t="s">
        <v>5</v>
      </c>
      <c r="B5" s="1" t="n">
        <v>1</v>
      </c>
    </row>
    <row r="6" customFormat="false" ht="14.25" hidden="false" customHeight="false" outlineLevel="0" collapsed="false">
      <c r="A6" s="1" t="s">
        <v>6</v>
      </c>
      <c r="B6" s="1" t="n">
        <v>10</v>
      </c>
    </row>
    <row r="7" customFormat="false" ht="14.25" hidden="false" customHeight="false" outlineLevel="0" collapsed="false">
      <c r="A7" s="1" t="s">
        <v>7</v>
      </c>
      <c r="B7" s="1" t="n">
        <v>0.3725</v>
      </c>
    </row>
    <row r="8" customFormat="false" ht="14.25" hidden="false" customHeight="false" outlineLevel="0" collapsed="false">
      <c r="A8" s="1" t="s">
        <v>8</v>
      </c>
      <c r="B8" s="1" t="n">
        <v>1.67</v>
      </c>
    </row>
    <row r="9" customFormat="false" ht="14.25" hidden="false" customHeight="false" outlineLevel="0" collapsed="false">
      <c r="A9" s="1" t="s">
        <v>9</v>
      </c>
      <c r="B9" s="1" t="n">
        <v>475</v>
      </c>
    </row>
    <row r="11" customFormat="false" ht="14.25" hidden="false" customHeight="false" outlineLevel="0" collapsed="false">
      <c r="A11" s="1" t="s">
        <v>10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D11" activeCellId="0" sqref="D11"/>
    </sheetView>
  </sheetViews>
  <sheetFormatPr defaultColWidth="10.16015625" defaultRowHeight="12.8" zeroHeight="false" outlineLevelRow="0" outlineLevelCol="0"/>
  <cols>
    <col collapsed="false" customWidth="true" hidden="false" outlineLevel="0" max="3" min="2" style="1" width="17.32"/>
  </cols>
  <sheetData>
    <row r="1" customFormat="false" ht="13.8" hidden="false" customHeight="false" outlineLevel="0" collapsed="false">
      <c r="A1" s="1" t="s">
        <v>0</v>
      </c>
      <c r="B1" s="2" t="n">
        <f aca="false">(B2*(B3*B4*B5+B6*B7)*B8*B9*0.001)*B10</f>
        <v>754640.83684375</v>
      </c>
      <c r="C1" s="2" t="n">
        <f aca="false">(C2*(C3*C4*C5+C6*C7)*C8*C9*0.001)*C10</f>
        <v>75464083.684375</v>
      </c>
    </row>
    <row r="2" customFormat="false" ht="13.8" hidden="false" customHeight="false" outlineLevel="0" collapsed="false">
      <c r="A2" s="1" t="s">
        <v>2</v>
      </c>
      <c r="B2" s="1" t="n">
        <v>79</v>
      </c>
      <c r="C2" s="1" t="n">
        <v>79</v>
      </c>
    </row>
    <row r="3" customFormat="false" ht="13.8" hidden="false" customHeight="false" outlineLevel="0" collapsed="false">
      <c r="A3" s="1" t="s">
        <v>3</v>
      </c>
      <c r="B3" s="1" t="n">
        <v>64</v>
      </c>
      <c r="C3" s="1" t="n">
        <v>64</v>
      </c>
    </row>
    <row r="4" customFormat="false" ht="13.8" hidden="false" customHeight="false" outlineLevel="0" collapsed="false">
      <c r="A4" s="1" t="s">
        <v>4</v>
      </c>
      <c r="B4" s="1" t="n">
        <v>300</v>
      </c>
      <c r="C4" s="1" t="n">
        <v>300</v>
      </c>
    </row>
    <row r="5" customFormat="false" ht="13.8" hidden="false" customHeight="false" outlineLevel="0" collapsed="false">
      <c r="A5" s="1" t="s">
        <v>5</v>
      </c>
      <c r="B5" s="1" t="n">
        <v>0.627</v>
      </c>
      <c r="C5" s="1" t="n">
        <v>0.627</v>
      </c>
    </row>
    <row r="6" customFormat="false" ht="13.8" hidden="false" customHeight="false" outlineLevel="0" collapsed="false">
      <c r="A6" s="1" t="s">
        <v>6</v>
      </c>
      <c r="B6" s="1" t="n">
        <v>10</v>
      </c>
      <c r="C6" s="1" t="n">
        <v>10</v>
      </c>
    </row>
    <row r="7" customFormat="false" ht="13.8" hidden="false" customHeight="false" outlineLevel="0" collapsed="false">
      <c r="A7" s="1" t="s">
        <v>7</v>
      </c>
      <c r="B7" s="1" t="n">
        <v>0.3725</v>
      </c>
      <c r="C7" s="1" t="n">
        <v>0.3725</v>
      </c>
    </row>
    <row r="8" customFormat="false" ht="13.8" hidden="false" customHeight="false" outlineLevel="0" collapsed="false">
      <c r="A8" s="1" t="s">
        <v>8</v>
      </c>
      <c r="B8" s="1" t="n">
        <v>1.67</v>
      </c>
      <c r="C8" s="1" t="n">
        <v>1.67</v>
      </c>
    </row>
    <row r="9" customFormat="false" ht="13.8" hidden="false" customHeight="false" outlineLevel="0" collapsed="false">
      <c r="A9" s="1" t="s">
        <v>9</v>
      </c>
      <c r="B9" s="1" t="n">
        <v>475</v>
      </c>
      <c r="C9" s="1" t="n">
        <v>475</v>
      </c>
    </row>
    <row r="10" customFormat="false" ht="13.8" hidden="false" customHeight="false" outlineLevel="0" collapsed="false">
      <c r="A10" s="1" t="s">
        <v>11</v>
      </c>
      <c r="B10" s="1" t="n">
        <v>1</v>
      </c>
      <c r="C10" s="1" t="n">
        <v>100</v>
      </c>
    </row>
    <row r="11" customFormat="false" ht="13.8" hidden="false" customHeight="false" outlineLevel="0" collapsed="false">
      <c r="B11" s="1" t="s">
        <v>12</v>
      </c>
      <c r="C11" s="1" t="s">
        <v>13</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83"/>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E18" activeCellId="0" sqref="E18"/>
    </sheetView>
  </sheetViews>
  <sheetFormatPr defaultColWidth="13.4765625" defaultRowHeight="12.8" zeroHeight="false" outlineLevelRow="0" outlineLevelCol="0"/>
  <sheetData>
    <row r="1" customFormat="false" ht="13.8" hidden="false" customHeight="false" outlineLevel="0" collapsed="false">
      <c r="A1" s="0" t="s">
        <v>12</v>
      </c>
    </row>
    <row r="2" customFormat="false" ht="13.8" hidden="false" customHeight="false" outlineLevel="0" collapsed="false">
      <c r="A2" s="0" t="s">
        <v>14</v>
      </c>
    </row>
    <row r="3" customFormat="false" ht="13.8" hidden="false" customHeight="false" outlineLevel="0" collapsed="false"/>
    <row r="4" customFormat="false" ht="13.8" hidden="false" customHeight="false" outlineLevel="0" collapsed="false">
      <c r="A4" s="0" t="s">
        <v>13</v>
      </c>
    </row>
    <row r="5" customFormat="false" ht="13.8" hidden="false" customHeight="false" outlineLevel="0" collapsed="false">
      <c r="A5" s="4" t="s">
        <v>15</v>
      </c>
    </row>
    <row r="6" customFormat="false" ht="13.8" hidden="false" customHeight="false" outlineLevel="0" collapsed="false"/>
    <row r="7" customFormat="false" ht="13.8" hidden="false" customHeight="false" outlineLevel="0" collapsed="false">
      <c r="A7" s="0" t="s">
        <v>16</v>
      </c>
    </row>
    <row r="8" customFormat="false" ht="13.8" hidden="false" customHeight="false" outlineLevel="0" collapsed="false">
      <c r="A8" s="0" t="s">
        <v>17</v>
      </c>
    </row>
    <row r="10" customFormat="false" ht="12.8" hidden="false" customHeight="false" outlineLevel="0" collapsed="false">
      <c r="A10" s="0" t="s">
        <v>18</v>
      </c>
    </row>
    <row r="11" customFormat="false" ht="13.8" hidden="false" customHeight="false" outlineLevel="0" collapsed="false">
      <c r="A11" s="0" t="s">
        <v>19</v>
      </c>
    </row>
    <row r="12" customFormat="false" ht="13.8" hidden="false" customHeight="false" outlineLevel="0" collapsed="false">
      <c r="A12" s="0" t="n">
        <v>0</v>
      </c>
    </row>
    <row r="13" customFormat="false" ht="12.8" hidden="false" customHeight="false" outlineLevel="0" collapsed="false">
      <c r="A13" s="0" t="n">
        <v>47</v>
      </c>
    </row>
    <row r="14" customFormat="false" ht="12.8" hidden="false" customHeight="false" outlineLevel="0" collapsed="false">
      <c r="A14" s="0" t="n">
        <v>75</v>
      </c>
    </row>
    <row r="15" customFormat="false" ht="12.8" hidden="false" customHeight="false" outlineLevel="0" collapsed="false">
      <c r="A15" s="0" t="n">
        <v>159</v>
      </c>
    </row>
    <row r="16" customFormat="false" ht="12.8" hidden="false" customHeight="false" outlineLevel="0" collapsed="false">
      <c r="A16" s="0" t="n">
        <v>233</v>
      </c>
    </row>
    <row r="17" customFormat="false" ht="12.8" hidden="false" customHeight="false" outlineLevel="0" collapsed="false">
      <c r="A17" s="0" t="n">
        <v>298</v>
      </c>
    </row>
    <row r="18" customFormat="false" ht="12.8" hidden="false" customHeight="false" outlineLevel="0" collapsed="false">
      <c r="A18" s="0" t="n">
        <v>358</v>
      </c>
    </row>
    <row r="19" customFormat="false" ht="12.8" hidden="false" customHeight="false" outlineLevel="0" collapsed="false">
      <c r="A19" s="0" t="n">
        <v>417</v>
      </c>
    </row>
    <row r="20" customFormat="false" ht="12.8" hidden="false" customHeight="false" outlineLevel="0" collapsed="false">
      <c r="A20" s="0" t="n">
        <v>476</v>
      </c>
    </row>
    <row r="21" customFormat="false" ht="12.8" hidden="false" customHeight="false" outlineLevel="0" collapsed="false">
      <c r="A21" s="0" t="n">
        <v>537</v>
      </c>
    </row>
    <row r="22" customFormat="false" ht="12.8" hidden="false" customHeight="false" outlineLevel="0" collapsed="false">
      <c r="A22" s="0" t="n">
        <v>603</v>
      </c>
    </row>
    <row r="23" customFormat="false" ht="12.8" hidden="false" customHeight="false" outlineLevel="0" collapsed="false">
      <c r="A23" s="0" t="n">
        <v>674</v>
      </c>
    </row>
    <row r="24" customFormat="false" ht="12.8" hidden="false" customHeight="false" outlineLevel="0" collapsed="false">
      <c r="A24" s="0" t="n">
        <v>753</v>
      </c>
    </row>
    <row r="25" customFormat="false" ht="12.8" hidden="false" customHeight="false" outlineLevel="0" collapsed="false">
      <c r="A25" s="0" t="n">
        <v>843</v>
      </c>
    </row>
    <row r="26" customFormat="false" ht="12.8" hidden="false" customHeight="false" outlineLevel="0" collapsed="false">
      <c r="A26" s="0" t="n">
        <v>949</v>
      </c>
    </row>
    <row r="27" customFormat="false" ht="12.8" hidden="false" customHeight="false" outlineLevel="0" collapsed="false">
      <c r="A27" s="0" t="n">
        <v>1076</v>
      </c>
    </row>
    <row r="28" customFormat="false" ht="12.8" hidden="false" customHeight="false" outlineLevel="0" collapsed="false">
      <c r="A28" s="0" t="n">
        <v>1237</v>
      </c>
    </row>
    <row r="29" customFormat="false" ht="12.8" hidden="false" customHeight="false" outlineLevel="0" collapsed="false">
      <c r="A29" s="0" t="n">
        <v>1459</v>
      </c>
    </row>
    <row r="30" customFormat="false" ht="12.8" hidden="false" customHeight="false" outlineLevel="0" collapsed="false">
      <c r="A30" s="0" t="n">
        <v>1801</v>
      </c>
    </row>
    <row r="31" customFormat="false" ht="12.8" hidden="false" customHeight="false" outlineLevel="0" collapsed="false">
      <c r="A31" s="0" t="n">
        <v>2479</v>
      </c>
    </row>
    <row r="32" customFormat="false" ht="12.8" hidden="false" customHeight="false" outlineLevel="0" collapsed="false">
      <c r="A32" s="0" t="n">
        <v>594601</v>
      </c>
    </row>
    <row r="34" customFormat="false" ht="12.8" hidden="false" customHeight="false" outlineLevel="0" collapsed="false">
      <c r="A34" s="0" t="s">
        <v>20</v>
      </c>
    </row>
    <row r="35" customFormat="false" ht="12.8" hidden="false" customHeight="false" outlineLevel="0" collapsed="false">
      <c r="A35" s="0" t="n">
        <v>0</v>
      </c>
    </row>
    <row r="36" customFormat="false" ht="12.8" hidden="false" customHeight="false" outlineLevel="0" collapsed="false">
      <c r="A36" s="0" t="n">
        <v>2</v>
      </c>
    </row>
    <row r="37" customFormat="false" ht="12.8" hidden="false" customHeight="false" outlineLevel="0" collapsed="false">
      <c r="A37" s="0" t="n">
        <v>15</v>
      </c>
    </row>
    <row r="38" customFormat="false" ht="12.8" hidden="false" customHeight="false" outlineLevel="0" collapsed="false">
      <c r="A38" s="0" t="n">
        <v>25</v>
      </c>
    </row>
    <row r="39" customFormat="false" ht="12.8" hidden="false" customHeight="false" outlineLevel="0" collapsed="false">
      <c r="A39" s="0" t="n">
        <v>34</v>
      </c>
    </row>
    <row r="40" customFormat="false" ht="12.8" hidden="false" customHeight="false" outlineLevel="0" collapsed="false">
      <c r="A40" s="0" t="n">
        <v>42</v>
      </c>
    </row>
    <row r="41" customFormat="false" ht="12.8" hidden="false" customHeight="false" outlineLevel="0" collapsed="false">
      <c r="A41" s="0" t="n">
        <v>49</v>
      </c>
    </row>
    <row r="42" customFormat="false" ht="12.8" hidden="false" customHeight="false" outlineLevel="0" collapsed="false">
      <c r="A42" s="0" t="n">
        <v>56</v>
      </c>
    </row>
    <row r="43" customFormat="false" ht="12.8" hidden="false" customHeight="false" outlineLevel="0" collapsed="false">
      <c r="A43" s="0" t="n">
        <v>63</v>
      </c>
    </row>
    <row r="44" customFormat="false" ht="12.8" hidden="false" customHeight="false" outlineLevel="0" collapsed="false">
      <c r="A44" s="0" t="n">
        <v>70</v>
      </c>
    </row>
    <row r="45" customFormat="false" ht="12.8" hidden="false" customHeight="false" outlineLevel="0" collapsed="false">
      <c r="A45" s="0" t="n">
        <v>78</v>
      </c>
    </row>
    <row r="46" customFormat="false" ht="12.8" hidden="false" customHeight="false" outlineLevel="0" collapsed="false">
      <c r="A46" s="0" t="n">
        <v>86</v>
      </c>
    </row>
    <row r="47" customFormat="false" ht="12.8" hidden="false" customHeight="false" outlineLevel="0" collapsed="false">
      <c r="A47" s="0" t="n">
        <v>95</v>
      </c>
    </row>
    <row r="48" customFormat="false" ht="12.8" hidden="false" customHeight="false" outlineLevel="0" collapsed="false">
      <c r="A48" s="0" t="n">
        <v>105</v>
      </c>
    </row>
    <row r="49" customFormat="false" ht="12.8" hidden="false" customHeight="false" outlineLevel="0" collapsed="false">
      <c r="A49" s="0" t="n">
        <v>117</v>
      </c>
    </row>
    <row r="50" customFormat="false" ht="12.8" hidden="false" customHeight="false" outlineLevel="0" collapsed="false">
      <c r="A50" s="0" t="n">
        <v>130</v>
      </c>
    </row>
    <row r="51" customFormat="false" ht="12.8" hidden="false" customHeight="false" outlineLevel="0" collapsed="false">
      <c r="A51" s="0" t="n">
        <v>147</v>
      </c>
    </row>
    <row r="52" customFormat="false" ht="12.8" hidden="false" customHeight="false" outlineLevel="0" collapsed="false">
      <c r="A52" s="0" t="n">
        <v>170</v>
      </c>
    </row>
    <row r="53" customFormat="false" ht="12.8" hidden="false" customHeight="false" outlineLevel="0" collapsed="false">
      <c r="A53" s="0" t="n">
        <v>205</v>
      </c>
    </row>
    <row r="54" customFormat="false" ht="12.8" hidden="false" customHeight="false" outlineLevel="0" collapsed="false">
      <c r="A54" s="0" t="n">
        <v>281</v>
      </c>
    </row>
    <row r="55" customFormat="false" ht="12.8" hidden="false" customHeight="false" outlineLevel="0" collapsed="false">
      <c r="A55" s="0" t="n">
        <v>3920</v>
      </c>
    </row>
    <row r="57" customFormat="false" ht="13.8" hidden="false" customHeight="false" outlineLevel="0" collapsed="false">
      <c r="A57" s="0" t="s">
        <v>21</v>
      </c>
    </row>
    <row r="58" customFormat="false" ht="13.8" hidden="false" customHeight="false" outlineLevel="0" collapsed="false">
      <c r="A58" s="0" t="n">
        <v>0</v>
      </c>
    </row>
    <row r="59" customFormat="false" ht="13.8" hidden="false" customHeight="false" outlineLevel="0" collapsed="false">
      <c r="A59" s="5" t="s">
        <v>22</v>
      </c>
    </row>
    <row r="60" customFormat="false" ht="13.8" hidden="false" customHeight="false" outlineLevel="0" collapsed="false">
      <c r="A60" s="5" t="s">
        <v>23</v>
      </c>
    </row>
    <row r="61" customFormat="false" ht="13.8" hidden="false" customHeight="false" outlineLevel="0" collapsed="false">
      <c r="A61" s="5" t="s">
        <v>24</v>
      </c>
    </row>
    <row r="62" customFormat="false" ht="13.8" hidden="false" customHeight="false" outlineLevel="0" collapsed="false">
      <c r="A62" s="5" t="s">
        <v>25</v>
      </c>
    </row>
    <row r="63" customFormat="false" ht="13.8" hidden="false" customHeight="false" outlineLevel="0" collapsed="false">
      <c r="A63" s="5" t="s">
        <v>26</v>
      </c>
    </row>
    <row r="64" customFormat="false" ht="13.8" hidden="false" customHeight="false" outlineLevel="0" collapsed="false">
      <c r="A64" s="5" t="s">
        <v>27</v>
      </c>
    </row>
    <row r="65" customFormat="false" ht="13.8" hidden="false" customHeight="false" outlineLevel="0" collapsed="false">
      <c r="A65" s="5" t="s">
        <v>28</v>
      </c>
    </row>
    <row r="66" customFormat="false" ht="13.8" hidden="false" customHeight="false" outlineLevel="0" collapsed="false">
      <c r="A66" s="5" t="s">
        <v>29</v>
      </c>
    </row>
    <row r="67" customFormat="false" ht="13.8" hidden="false" customHeight="false" outlineLevel="0" collapsed="false">
      <c r="A67" s="5" t="s">
        <v>30</v>
      </c>
    </row>
    <row r="68" customFormat="false" ht="13.8" hidden="false" customHeight="false" outlineLevel="0" collapsed="false">
      <c r="A68" s="5" t="s">
        <v>31</v>
      </c>
    </row>
    <row r="69" customFormat="false" ht="13.8" hidden="false" customHeight="false" outlineLevel="0" collapsed="false">
      <c r="A69" s="5" t="s">
        <v>32</v>
      </c>
    </row>
    <row r="70" customFormat="false" ht="13.8" hidden="false" customHeight="false" outlineLevel="0" collapsed="false">
      <c r="A70" s="5" t="s">
        <v>33</v>
      </c>
    </row>
    <row r="71" customFormat="false" ht="13.8" hidden="false" customHeight="false" outlineLevel="0" collapsed="false">
      <c r="A71" s="5" t="s">
        <v>34</v>
      </c>
    </row>
    <row r="72" customFormat="false" ht="13.8" hidden="false" customHeight="false" outlineLevel="0" collapsed="false">
      <c r="A72" s="5" t="s">
        <v>35</v>
      </c>
    </row>
    <row r="73" customFormat="false" ht="13.8" hidden="false" customHeight="false" outlineLevel="0" collapsed="false">
      <c r="A73" s="5" t="s">
        <v>36</v>
      </c>
    </row>
    <row r="74" customFormat="false" ht="13.8" hidden="false" customHeight="false" outlineLevel="0" collapsed="false">
      <c r="A74" s="5" t="s">
        <v>37</v>
      </c>
    </row>
    <row r="75" customFormat="false" ht="13.8" hidden="false" customHeight="false" outlineLevel="0" collapsed="false">
      <c r="A75" s="5" t="s">
        <v>38</v>
      </c>
    </row>
    <row r="76" customFormat="false" ht="13.8" hidden="false" customHeight="false" outlineLevel="0" collapsed="false">
      <c r="A76" s="5" t="s">
        <v>39</v>
      </c>
    </row>
    <row r="77" customFormat="false" ht="13.8" hidden="false" customHeight="false" outlineLevel="0" collapsed="false">
      <c r="A77" s="5" t="s">
        <v>40</v>
      </c>
    </row>
    <row r="78" customFormat="false" ht="13.8" hidden="false" customHeight="false" outlineLevel="0" collapsed="false">
      <c r="A78" s="5" t="s">
        <v>41</v>
      </c>
    </row>
    <row r="79" customFormat="false" ht="13.8" hidden="false" customHeight="false" outlineLevel="0" collapsed="false">
      <c r="A79" s="5"/>
    </row>
    <row r="80" customFormat="false" ht="12.8" hidden="false" customHeight="false" outlineLevel="0" collapsed="false">
      <c r="A80" s="0" t="s">
        <v>42</v>
      </c>
    </row>
    <row r="81" customFormat="false" ht="12.8" hidden="false" customHeight="false" outlineLevel="0" collapsed="false">
      <c r="A81" s="0" t="s">
        <v>43</v>
      </c>
    </row>
    <row r="82" customFormat="false" ht="12.8" hidden="false" customHeight="false" outlineLevel="0" collapsed="false">
      <c r="A82" s="0" t="s">
        <v>44</v>
      </c>
    </row>
    <row r="83" customFormat="false" ht="12.8" hidden="false" customHeight="false" outlineLevel="0" collapsed="false">
      <c r="A83" s="0" t="s">
        <v>45</v>
      </c>
    </row>
  </sheetData>
  <printOptions headings="false" gridLines="false" gridLinesSet="true" horizontalCentered="false" verticalCentered="false"/>
  <pageMargins left="0.7875" right="0.7875" top="1.05277777777778" bottom="1.05277777777778" header="0.7875" footer="0.7875"/>
  <pageSetup paperSize="9" scale="100" fitToWidth="1" fitToHeight="1" pageOrder="downThenOver" orientation="portrait" blackAndWhite="false" draft="false" cellComments="none" horizontalDpi="300" verticalDpi="300" copies="1"/>
  <headerFooter differentFirst="false" differentOddEven="false">
    <oddHeader>&amp;C&amp;"Times New Roman,Normal"&amp;12&amp;Kffffff&amp;A</oddHeader>
    <oddFooter>&amp;C&amp;"Times New Roman,Normal"&amp;12&amp;KffffffPage &amp;P</oddFooter>
  </headerFooter>
</worksheet>
</file>

<file path=docProps/app.xml><?xml version="1.0" encoding="utf-8"?>
<Properties xmlns="http://schemas.openxmlformats.org/officeDocument/2006/extended-properties" xmlns:vt="http://schemas.openxmlformats.org/officeDocument/2006/docPropsVTypes">
  <Template/>
  <TotalTime>50</TotalTime>
  <Application>LibreOffice/24.2.3.2$Windows_X86_64 LibreOffice_project/433d9c2ded56988e8a90e6b2e771ee4e6a5ab2ba</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2025-12-04T13:13:18Z</dcterms:created>
  <dc:creator>Estelle Grimaud</dc:creator>
  <dc:description/>
  <dc:language>fr-FR</dc:language>
  <cp:lastModifiedBy/>
  <dcterms:modified xsi:type="dcterms:W3CDTF">2025-12-04T17:27:32Z</dcterms:modified>
  <cp:revision>12</cp:revision>
  <dc:subject/>
  <dc:title/>
</cp:coreProperties>
</file>

<file path=docProps/custom.xml><?xml version="1.0" encoding="utf-8"?>
<Properties xmlns="http://schemas.openxmlformats.org/officeDocument/2006/custom-properties" xmlns:vt="http://schemas.openxmlformats.org/officeDocument/2006/docPropsVTypes"/>
</file>