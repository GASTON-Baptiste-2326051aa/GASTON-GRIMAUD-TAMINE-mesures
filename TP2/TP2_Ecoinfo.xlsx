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Exo 1 - Partie 1" sheetId="1" state="visible" r:id="rId3"/>
    <sheet name="Exo 1 - Partie 2"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<sst xmlns="http://schemas.openxmlformats.org/spreadsheetml/2006/main" count="23" uniqueCount="14">
  <si>
    <t xml:space="preserve">C</t>
  </si>
  <si>
    <t xml:space="preserve">Pour intégrer cette information dans notre calcul, nous ajoutons un facteur de multiplication (PSF). Dans notre cas, ce facteur correspond au nombre de niveaux d'énergie, nous multiplions donc le résultat obtenu par 11.</t>
  </si>
  <si>
    <t xml:space="preserve">t</t>
  </si>
  <si>
    <r>
      <rPr>
        <sz val="11"/>
        <color theme="1"/>
        <rFont val="Aptos Narrow"/>
        <family val="2"/>
        <charset val="1"/>
      </rPr>
      <t xml:space="preserve">n</t>
    </r>
    <r>
      <rPr>
        <vertAlign val="subscript"/>
        <sz val="11"/>
        <color theme="1"/>
        <rFont val="Aptos Narrow"/>
        <family val="2"/>
        <charset val="1"/>
      </rPr>
      <t xml:space="preserve">c</t>
    </r>
  </si>
  <si>
    <r>
      <rPr>
        <sz val="11"/>
        <color theme="1"/>
        <rFont val="Aptos Narrow"/>
        <family val="2"/>
        <charset val="1"/>
      </rPr>
      <t xml:space="preserve">P</t>
    </r>
    <r>
      <rPr>
        <vertAlign val="subscript"/>
        <sz val="11"/>
        <color theme="1"/>
        <rFont val="Aptos Narrow"/>
        <family val="2"/>
        <charset val="1"/>
      </rPr>
      <t xml:space="preserve">c</t>
    </r>
  </si>
  <si>
    <r>
      <rPr>
        <sz val="11"/>
        <color theme="1"/>
        <rFont val="Aptos Narrow"/>
        <family val="2"/>
        <charset val="1"/>
      </rPr>
      <t xml:space="preserve">u</t>
    </r>
    <r>
      <rPr>
        <vertAlign val="subscript"/>
        <sz val="11"/>
        <color theme="1"/>
        <rFont val="Aptos Narrow"/>
        <family val="2"/>
        <charset val="1"/>
      </rPr>
      <t xml:space="preserve">c</t>
    </r>
  </si>
  <si>
    <r>
      <rPr>
        <sz val="11"/>
        <color theme="1"/>
        <rFont val="Aptos Narrow"/>
        <family val="2"/>
        <charset val="1"/>
      </rPr>
      <t xml:space="preserve">n</t>
    </r>
    <r>
      <rPr>
        <vertAlign val="subscript"/>
        <sz val="11"/>
        <color theme="1"/>
        <rFont val="Aptos Narrow"/>
        <family val="2"/>
        <charset val="1"/>
      </rPr>
      <t xml:space="preserve">m</t>
    </r>
  </si>
  <si>
    <r>
      <rPr>
        <sz val="11"/>
        <color theme="1"/>
        <rFont val="Aptos Narrow"/>
        <family val="2"/>
        <charset val="1"/>
      </rPr>
      <t xml:space="preserve">P</t>
    </r>
    <r>
      <rPr>
        <vertAlign val="subscript"/>
        <sz val="11"/>
        <color theme="1"/>
        <rFont val="Aptos Narrow"/>
        <family val="2"/>
        <charset val="1"/>
      </rPr>
      <t xml:space="preserve">m</t>
    </r>
  </si>
  <si>
    <t xml:space="preserve">PUE</t>
  </si>
  <si>
    <t xml:space="preserve">CI</t>
  </si>
  <si>
    <t xml:space="preserve">Il faudrait 49,47 années à un arbre adulte pour absorber la quantité de C02 avec les 11 niveaux d'énergie. En effet un arbre absorbe 11kg de CO2 par an.</t>
  </si>
  <si>
    <t xml:space="preserve">PSF</t>
  </si>
  <si>
    <t xml:space="preserve">Question 1</t>
  </si>
  <si>
    <t xml:space="preserve">Question 2</t>
  </si>
</sst>
</file>

<file path=xl/styles.xml><?xml version="1.0" encoding="utf-8"?>
<styleSheet xmlns="http://schemas.openxmlformats.org/spreadsheetml/2006/main">
  <numFmts count="2">
    <numFmt numFmtId="164" formatCode="General"/>
    <numFmt numFmtId="165" formatCode="General"/>
  </numFmts>
  <fonts count="6">
    <font>
      <sz val="11"/>
      <color theme="1"/>
      <name val="Aptos Narrow"/>
      <family val="2"/>
      <charset val="1"/>
    </font>
    <font>
      <sz val="10"/>
      <name val="Arial"/>
      <family val="0"/>
    </font>
    <font>
      <sz val="10"/>
      <name val="Arial"/>
      <family val="0"/>
    </font>
    <font>
      <sz val="10"/>
      <name val="Arial"/>
      <family val="0"/>
    </font>
    <font>
      <sz val="11"/>
      <color rgb="FF000000"/>
      <name val="Aptos Narrow"/>
      <family val="2"/>
      <charset val="1"/>
    </font>
    <font>
      <vertAlign val="subscript"/>
      <sz val="11"/>
      <color theme="1"/>
      <name val="Aptos Narrow"/>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0.62890625" defaultRowHeight="14.25" zeroHeight="false" outlineLevelRow="0" outlineLevelCol="0"/>
  <sheetData>
    <row r="1" customFormat="false" ht="14.25" hidden="false" customHeight="false" outlineLevel="0" collapsed="false">
      <c r="A1" s="0" t="s">
        <v>0</v>
      </c>
      <c r="B1" s="1" t="n">
        <f aca="false">B2*(B3*B4*B5+B6*B7)*B8*B9*0.001</f>
        <v>49465.00755</v>
      </c>
      <c r="C1" s="2" t="s">
        <v>1</v>
      </c>
    </row>
    <row r="2" customFormat="false" ht="14.25" hidden="false" customHeight="false" outlineLevel="0" collapsed="false">
      <c r="A2" s="0" t="s">
        <v>2</v>
      </c>
      <c r="B2" s="0" t="n">
        <v>504</v>
      </c>
      <c r="C2" s="3" t="n">
        <f aca="false">(B1*11)</f>
        <v>544115.08305</v>
      </c>
    </row>
    <row r="3" customFormat="false" ht="16.4" hidden="false" customHeight="false" outlineLevel="0" collapsed="false">
      <c r="A3" s="0" t="s">
        <v>3</v>
      </c>
      <c r="B3" s="0" t="n">
        <v>12</v>
      </c>
    </row>
    <row r="4" customFormat="false" ht="16.4" hidden="false" customHeight="false" outlineLevel="0" collapsed="false">
      <c r="A4" s="0" t="s">
        <v>4</v>
      </c>
      <c r="B4" s="0" t="n">
        <v>10</v>
      </c>
    </row>
    <row r="5" customFormat="false" ht="16.4" hidden="false" customHeight="false" outlineLevel="0" collapsed="false">
      <c r="A5" s="0" t="s">
        <v>5</v>
      </c>
      <c r="B5" s="0" t="n">
        <v>1</v>
      </c>
    </row>
    <row r="6" customFormat="false" ht="16.4" hidden="false" customHeight="false" outlineLevel="0" collapsed="false">
      <c r="A6" s="0" t="s">
        <v>6</v>
      </c>
      <c r="B6" s="0" t="n">
        <v>10</v>
      </c>
    </row>
    <row r="7" customFormat="false" ht="16.4" hidden="false" customHeight="false" outlineLevel="0" collapsed="false">
      <c r="A7" s="0" t="s">
        <v>7</v>
      </c>
      <c r="B7" s="0" t="n">
        <v>0.3725</v>
      </c>
    </row>
    <row r="8" customFormat="false" ht="14.25" hidden="false" customHeight="false" outlineLevel="0" collapsed="false">
      <c r="A8" s="0" t="s">
        <v>8</v>
      </c>
      <c r="B8" s="0" t="n">
        <v>1.67</v>
      </c>
    </row>
    <row r="9" customFormat="false" ht="14.25" hidden="false" customHeight="false" outlineLevel="0" collapsed="false">
      <c r="A9" s="0" t="s">
        <v>9</v>
      </c>
      <c r="B9" s="0" t="n">
        <v>475</v>
      </c>
    </row>
    <row r="11" customFormat="false" ht="14.25" hidden="false" customHeight="false" outlineLevel="0" collapsed="false">
      <c r="A11" s="0" t="s">
        <v>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3" activeCellId="0" sqref="D23"/>
    </sheetView>
  </sheetViews>
  <sheetFormatPr defaultColWidth="10.16015625" defaultRowHeight="12.8" zeroHeight="false" outlineLevelRow="0" outlineLevelCol="0"/>
  <cols>
    <col collapsed="false" customWidth="true" hidden="false" outlineLevel="0" max="3" min="2" style="0" width="17.32"/>
  </cols>
  <sheetData>
    <row r="1" customFormat="false" ht="13.8" hidden="false" customHeight="false" outlineLevel="0" collapsed="false">
      <c r="A1" s="0" t="s">
        <v>0</v>
      </c>
      <c r="B1" s="1" t="n">
        <f aca="false">(B2*(B3*B4*B5+B6*B7)*B8*B9*0.001)*B10</f>
        <v>754640.83684375</v>
      </c>
      <c r="C1" s="1" t="n">
        <f aca="false">(C2*(C3*C4*C5+C6*C7)*C8*C9*0.001)*C10</f>
        <v>75464083.684375</v>
      </c>
    </row>
    <row r="2" customFormat="false" ht="13.8" hidden="false" customHeight="false" outlineLevel="0" collapsed="false">
      <c r="A2" s="0" t="s">
        <v>2</v>
      </c>
      <c r="B2" s="0" t="n">
        <v>79</v>
      </c>
      <c r="C2" s="0" t="n">
        <v>79</v>
      </c>
    </row>
    <row r="3" customFormat="false" ht="16.4" hidden="false" customHeight="false" outlineLevel="0" collapsed="false">
      <c r="A3" s="0" t="s">
        <v>3</v>
      </c>
      <c r="B3" s="0" t="n">
        <v>64</v>
      </c>
      <c r="C3" s="0" t="n">
        <v>64</v>
      </c>
    </row>
    <row r="4" customFormat="false" ht="16.4" hidden="false" customHeight="false" outlineLevel="0" collapsed="false">
      <c r="A4" s="0" t="s">
        <v>4</v>
      </c>
      <c r="B4" s="0" t="n">
        <v>300</v>
      </c>
      <c r="C4" s="0" t="n">
        <v>300</v>
      </c>
    </row>
    <row r="5" customFormat="false" ht="16.4" hidden="false" customHeight="false" outlineLevel="0" collapsed="false">
      <c r="A5" s="0" t="s">
        <v>5</v>
      </c>
      <c r="B5" s="0" t="n">
        <v>0.627</v>
      </c>
      <c r="C5" s="0" t="n">
        <v>0.627</v>
      </c>
    </row>
    <row r="6" customFormat="false" ht="16.4" hidden="false" customHeight="false" outlineLevel="0" collapsed="false">
      <c r="A6" s="0" t="s">
        <v>6</v>
      </c>
      <c r="B6" s="0" t="n">
        <v>10</v>
      </c>
      <c r="C6" s="0" t="n">
        <v>10</v>
      </c>
    </row>
    <row r="7" customFormat="false" ht="16.4" hidden="false" customHeight="false" outlineLevel="0" collapsed="false">
      <c r="A7" s="0" t="s">
        <v>7</v>
      </c>
      <c r="B7" s="0" t="n">
        <v>0.3725</v>
      </c>
      <c r="C7" s="0" t="n">
        <v>0.3725</v>
      </c>
    </row>
    <row r="8" customFormat="false" ht="13.8" hidden="false" customHeight="false" outlineLevel="0" collapsed="false">
      <c r="A8" s="0" t="s">
        <v>8</v>
      </c>
      <c r="B8" s="0" t="n">
        <v>1.67</v>
      </c>
      <c r="C8" s="0" t="n">
        <v>1.67</v>
      </c>
    </row>
    <row r="9" customFormat="false" ht="13.8" hidden="false" customHeight="false" outlineLevel="0" collapsed="false">
      <c r="A9" s="0" t="s">
        <v>9</v>
      </c>
      <c r="B9" s="0" t="n">
        <v>475</v>
      </c>
      <c r="C9" s="0" t="n">
        <v>475</v>
      </c>
    </row>
    <row r="10" customFormat="false" ht="13.8" hidden="false" customHeight="false" outlineLevel="0" collapsed="false">
      <c r="A10" s="0" t="s">
        <v>11</v>
      </c>
      <c r="B10" s="0" t="n">
        <v>1</v>
      </c>
      <c r="C10" s="0" t="n">
        <v>100</v>
      </c>
    </row>
    <row r="11" customFormat="false" ht="12.8" hidden="false" customHeight="false" outlineLevel="0" collapsed="false">
      <c r="B11" s="0" t="s">
        <v>12</v>
      </c>
      <c r="C11" s="0" t="s">
        <v>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2025-12-04T13:13:18Z</dcterms:created>
  <dc:creator>Estelle Grimaud</dc:creator>
  <dc:description/>
  <dc:language>fr-FR</dc:language>
  <cp:lastModifiedBy/>
  <dcterms:modified xsi:type="dcterms:W3CDTF">2025-12-04T17:01:30Z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